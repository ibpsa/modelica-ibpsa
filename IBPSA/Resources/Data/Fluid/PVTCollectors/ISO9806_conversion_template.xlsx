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Workdir\Develop\IDEAS\IDEAS\Resources\Data\Fluid\PVTCollectors\"/>
    </mc:Choice>
  </mc:AlternateContent>
  <xr:revisionPtr revIDLastSave="0" documentId="8_{7E1371BB-B336-4553-85B3-A7CCCEB1D305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Instructions" sheetId="1" r:id="rId1"/>
    <sheet name="ISO2013_USS" sheetId="2" r:id="rId2"/>
    <sheet name="ISO2013_QD" sheetId="3" r:id="rId3"/>
    <sheet name="ISO2025_QD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8" i="6" l="1"/>
  <c r="L28" i="6"/>
  <c r="I28" i="6"/>
  <c r="H28" i="6"/>
  <c r="G28" i="6"/>
  <c r="F28" i="6"/>
  <c r="E28" i="6"/>
  <c r="D28" i="6"/>
  <c r="M28" i="6"/>
  <c r="M28" i="3"/>
  <c r="J28" i="3"/>
  <c r="I28" i="3"/>
  <c r="H28" i="3"/>
  <c r="G28" i="3"/>
  <c r="F28" i="3"/>
  <c r="E28" i="3"/>
  <c r="D28" i="3"/>
  <c r="I29" i="2"/>
  <c r="K29" i="2"/>
  <c r="J29" i="2"/>
  <c r="H29" i="2"/>
  <c r="G29" i="2"/>
  <c r="E29" i="2"/>
  <c r="M29" i="2" a="1"/>
  <c r="M29" i="2" s="1"/>
  <c r="D29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<sst xmlns="http://schemas.openxmlformats.org/spreadsheetml/2006/main" count="132" uniqueCount="48">
  <si>
    <t>a1</t>
  </si>
  <si>
    <t>a2</t>
  </si>
  <si>
    <t>a3</t>
  </si>
  <si>
    <t>a4</t>
  </si>
  <si>
    <t>a5</t>
  </si>
  <si>
    <t>a6</t>
  </si>
  <si>
    <t>a7</t>
  </si>
  <si>
    <t>a8</t>
  </si>
  <si>
    <t>c1</t>
  </si>
  <si>
    <t>c2</t>
  </si>
  <si>
    <t>c3</t>
  </si>
  <si>
    <t>c4</t>
  </si>
  <si>
    <t>c6</t>
  </si>
  <si>
    <t>Kd</t>
  </si>
  <si>
    <t>EN ISO 9806:2013 Unglazed steady-state test results</t>
  </si>
  <si>
    <t>η0,hem</t>
  </si>
  <si>
    <t>b1</t>
  </si>
  <si>
    <t>b2</t>
  </si>
  <si>
    <t>bu</t>
  </si>
  <si>
    <t>ε/α</t>
  </si>
  <si>
    <t>W/(m²K)</t>
  </si>
  <si>
    <t>Ws/(m³K)</t>
  </si>
  <si>
    <t>s/m</t>
  </si>
  <si>
    <t>-</t>
  </si>
  <si>
    <t>IAM</t>
  </si>
  <si>
    <t>K</t>
  </si>
  <si>
    <t>angle (°)</t>
  </si>
  <si>
    <t>EN ISO 9806:2017 Quasi-Dynamic PVT model inputs</t>
  </si>
  <si>
    <t>η0,b</t>
  </si>
  <si>
    <t>C/m2</t>
  </si>
  <si>
    <r>
      <t>KJ/(Km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</si>
  <si>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W/(m²K²)</t>
  </si>
  <si>
    <r>
      <t>J/(m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K)</t>
    </r>
  </si>
  <si>
    <r>
      <t>J/(Km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</si>
  <si>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r>
      <t>W/(m²K</t>
    </r>
    <r>
      <rPr>
        <b/>
        <vertAlign val="superscript"/>
        <sz val="11"/>
        <color theme="1"/>
        <rFont val="Calibri"/>
        <family val="2"/>
        <scheme val="minor"/>
      </rPr>
      <t>4</t>
    </r>
    <r>
      <rPr>
        <b/>
        <sz val="11"/>
        <color theme="1"/>
        <rFont val="Calibri"/>
        <family val="2"/>
        <scheme val="minor"/>
      </rPr>
      <t>)</t>
    </r>
  </si>
  <si>
    <t>EN ISO 9806:2013 Quasi-Dynamic test results</t>
  </si>
  <si>
    <t>EN ISO 9806:2025 Quasi-Dynamic test results</t>
  </si>
  <si>
    <t>Purpose</t>
  </si>
  <si>
    <t>Quick start</t>
  </si>
  <si>
    <t>Source to cite for the conversion logic</t>
  </si>
  <si>
    <r>
      <t xml:space="preserve">Meertens, L.; Jansen, J.; Helsen, L. (2026). </t>
    </r>
    <r>
      <rPr>
        <i/>
        <sz val="11"/>
        <color theme="1"/>
        <rFont val="Calibri"/>
        <family val="2"/>
        <scheme val="minor"/>
      </rPr>
      <t>Development and Experimental Validation of an Unglazed Photovoltaic‑Thermal Collector Modelica Model that only needs Datasheet Parameters</t>
    </r>
    <r>
      <rPr>
        <sz val="11"/>
        <color theme="1"/>
        <rFont val="Calibri"/>
        <family val="2"/>
        <scheme val="minor"/>
      </rPr>
      <t xml:space="preserve">. Submitted to </t>
    </r>
    <r>
      <rPr>
        <i/>
        <sz val="11"/>
        <color theme="1"/>
        <rFont val="Calibri"/>
        <family val="2"/>
        <scheme val="minor"/>
      </rPr>
      <t>Mathematical and Computer Modelling of Dynamical Systems</t>
    </r>
    <r>
      <rPr>
        <sz val="11"/>
        <color theme="1"/>
        <rFont val="Calibri"/>
        <family val="2"/>
        <scheme val="minor"/>
      </rPr>
      <t>, Special Issue on Modelica, FMI, and Open Standards.</t>
    </r>
  </si>
  <si>
    <t>1) Open the appropriate input tab: ISO2013_USS, ISO2013_QD or ISO2025_QD.
2) Fill the RED input cells with datasheet values (numeric only).
3) Yellow cells contain converted coefficients ready for your model.
4) If you change inputs, results update automatically.</t>
  </si>
  <si>
    <t>Locale note</t>
  </si>
  <si>
    <t>This workbook was prepared using formulas in standard Excel formula syntax (commas as separators). Excel will adapt separators to your locale when opening. If formulas show a syntax error, replace commas with semicolons and dots with commas as needed for your locale.</t>
  </si>
  <si>
    <t>This workbook converts ISO 9806 datasheet coefficients into the ISO 9806:2017 quasi-dynamic parameter set used by the PVT model.</t>
  </si>
  <si>
    <r>
      <t xml:space="preserve">2) Fill only the </t>
    </r>
    <r>
      <rPr>
        <sz val="11"/>
        <color rgb="FFFF0000"/>
        <rFont val="Calibri"/>
        <family val="2"/>
        <scheme val="minor"/>
      </rPr>
      <t>red</t>
    </r>
    <r>
      <rPr>
        <sz val="11"/>
        <color theme="1"/>
        <rFont val="Calibri"/>
        <family val="2"/>
        <scheme val="minor"/>
      </rPr>
      <t xml:space="preserve"> input boxes with the values reported on the datasheet or test report (use the units indicated on each tab).</t>
    </r>
  </si>
  <si>
    <t>3) The yellow result boxes contain the converted coefficients (ready to copy to your PVT model).</t>
  </si>
  <si>
    <t>4) If you change any red input cell, the conversions update automatically.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</si>
</sst>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0.0000"/>
    <numFmt numFmtId="168" formatCode="0.000"/>
    <numFmt numFmtId="169" formatCode="0.0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3" fillId="3" borderId="0" xfId="0" applyFont="1" applyFill="1" applyBorder="1" applyAlignment="1">
      <alignment horizontal="center"/>
    </xf>
    <xf numFmtId="0" fontId="0" fillId="3" borderId="12" xfId="0" applyFill="1" applyBorder="1"/>
    <xf numFmtId="0" fontId="0" fillId="3" borderId="0" xfId="0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3" borderId="16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2" fillId="3" borderId="17" xfId="0" applyFont="1" applyFill="1" applyBorder="1" applyAlignment="1">
      <alignment wrapText="1"/>
    </xf>
    <xf numFmtId="0" fontId="1" fillId="3" borderId="5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17" xfId="0" applyFont="1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0" xfId="0" applyFill="1"/>
    <xf numFmtId="0" fontId="0" fillId="3" borderId="7" xfId="0" applyFill="1" applyBorder="1"/>
    <xf numFmtId="0" fontId="0" fillId="3" borderId="6" xfId="0" applyFill="1" applyBorder="1"/>
    <xf numFmtId="0" fontId="2" fillId="3" borderId="1" xfId="0" applyFont="1" applyFill="1" applyBorder="1"/>
    <xf numFmtId="0" fontId="2" fillId="3" borderId="18" xfId="0" applyFont="1" applyFill="1" applyBorder="1"/>
    <xf numFmtId="0" fontId="2" fillId="3" borderId="19" xfId="0" applyFont="1" applyFill="1" applyBorder="1"/>
    <xf numFmtId="0" fontId="0" fillId="3" borderId="5" xfId="0" applyFill="1" applyBorder="1"/>
    <xf numFmtId="0" fontId="2" fillId="3" borderId="6" xfId="0" applyFont="1" applyFill="1" applyBorder="1" applyAlignment="1">
      <alignment wrapText="1"/>
    </xf>
    <xf numFmtId="168" fontId="5" fillId="2" borderId="5" xfId="0" applyNumberFormat="1" applyFont="1" applyFill="1" applyBorder="1"/>
    <xf numFmtId="2" fontId="5" fillId="2" borderId="6" xfId="0" applyNumberFormat="1" applyFont="1" applyFill="1" applyBorder="1"/>
    <xf numFmtId="168" fontId="5" fillId="2" borderId="6" xfId="0" applyNumberFormat="1" applyFont="1" applyFill="1" applyBorder="1"/>
    <xf numFmtId="1" fontId="5" fillId="2" borderId="6" xfId="0" applyNumberFormat="1" applyFont="1" applyFill="1" applyBorder="1"/>
    <xf numFmtId="167" fontId="5" fillId="2" borderId="6" xfId="0" applyNumberFormat="1" applyFont="1" applyFill="1" applyBorder="1"/>
    <xf numFmtId="0" fontId="5" fillId="2" borderId="6" xfId="0" applyFont="1" applyFill="1" applyBorder="1"/>
    <xf numFmtId="168" fontId="5" fillId="2" borderId="7" xfId="0" applyNumberFormat="1" applyFont="1" applyFill="1" applyBorder="1"/>
    <xf numFmtId="0" fontId="5" fillId="3" borderId="6" xfId="0" applyFont="1" applyFill="1" applyBorder="1"/>
    <xf numFmtId="0" fontId="5" fillId="3" borderId="7" xfId="0" applyFont="1" applyFill="1" applyBorder="1"/>
    <xf numFmtId="0" fontId="0" fillId="3" borderId="3" xfId="0" applyFill="1" applyBorder="1"/>
    <xf numFmtId="0" fontId="0" fillId="3" borderId="4" xfId="0" applyFill="1" applyBorder="1"/>
    <xf numFmtId="168" fontId="0" fillId="2" borderId="5" xfId="0" applyNumberFormat="1" applyFill="1" applyBorder="1"/>
    <xf numFmtId="2" fontId="0" fillId="2" borderId="6" xfId="0" applyNumberFormat="1" applyFill="1" applyBorder="1"/>
    <xf numFmtId="168" fontId="0" fillId="2" borderId="6" xfId="0" applyNumberFormat="1" applyFill="1" applyBorder="1"/>
    <xf numFmtId="1" fontId="0" fillId="2" borderId="6" xfId="0" applyNumberFormat="1" applyFill="1" applyBorder="1"/>
    <xf numFmtId="168" fontId="0" fillId="2" borderId="7" xfId="0" applyNumberFormat="1" applyFill="1" applyBorder="1"/>
    <xf numFmtId="169" fontId="0" fillId="2" borderId="6" xfId="0" applyNumberFormat="1" applyFill="1" applyBorder="1"/>
    <xf numFmtId="0" fontId="2" fillId="3" borderId="0" xfId="0" applyFont="1" applyFill="1" applyBorder="1"/>
    <xf numFmtId="0" fontId="1" fillId="3" borderId="0" xfId="0" applyFont="1" applyFill="1" applyBorder="1"/>
    <xf numFmtId="0" fontId="2" fillId="3" borderId="0" xfId="0" applyFont="1" applyFill="1" applyBorder="1" applyAlignment="1">
      <alignment wrapText="1"/>
    </xf>
    <xf numFmtId="0" fontId="0" fillId="0" borderId="0" xfId="0" applyAlignment="1">
      <alignment wrapText="1"/>
    </xf>
    <xf numFmtId="0" fontId="7" fillId="0" borderId="0" xfId="0" applyFont="1" applyAlignment="1">
      <alignment wrapText="1"/>
    </xf>
    <xf numFmtId="0" fontId="7" fillId="0" borderId="0" xfId="0" applyFont="1" applyFill="1" applyAlignment="1">
      <alignment wrapText="1"/>
    </xf>
    <xf numFmtId="0" fontId="0" fillId="0" borderId="0" xfId="0" applyFill="1" applyAlignment="1">
      <alignment wrapText="1"/>
    </xf>
    <xf numFmtId="0" fontId="2" fillId="0" borderId="0" xfId="0" applyFont="1" applyFill="1"/>
    <xf numFmtId="0" fontId="0" fillId="0" borderId="0" xfId="0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16</xdr:row>
      <xdr:rowOff>72390</xdr:rowOff>
    </xdr:from>
    <xdr:to>
      <xdr:col>9</xdr:col>
      <xdr:colOff>140970</xdr:colOff>
      <xdr:row>22</xdr:row>
      <xdr:rowOff>110490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1E8BA62E-A922-A032-8A40-33D1B44AE2C8}"/>
            </a:ext>
          </a:extLst>
        </xdr:cNvPr>
        <xdr:cNvSpPr/>
      </xdr:nvSpPr>
      <xdr:spPr>
        <a:xfrm>
          <a:off x="3733800" y="2348865"/>
          <a:ext cx="1283970" cy="112395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BE" sz="1100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15</xdr:row>
      <xdr:rowOff>62865</xdr:rowOff>
    </xdr:from>
    <xdr:to>
      <xdr:col>9</xdr:col>
      <xdr:colOff>34290</xdr:colOff>
      <xdr:row>21</xdr:row>
      <xdr:rowOff>100965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20FD9AB6-857F-4185-B763-0D5064B12E51}"/>
            </a:ext>
          </a:extLst>
        </xdr:cNvPr>
        <xdr:cNvSpPr/>
      </xdr:nvSpPr>
      <xdr:spPr>
        <a:xfrm>
          <a:off x="4238625" y="3063240"/>
          <a:ext cx="1282065" cy="112395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BE" sz="1100" kern="12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15</xdr:row>
      <xdr:rowOff>62865</xdr:rowOff>
    </xdr:from>
    <xdr:to>
      <xdr:col>9</xdr:col>
      <xdr:colOff>34290</xdr:colOff>
      <xdr:row>21</xdr:row>
      <xdr:rowOff>100965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3CC65CDD-844A-498E-BE2E-C7CC4C079819}"/>
            </a:ext>
          </a:extLst>
        </xdr:cNvPr>
        <xdr:cNvSpPr/>
      </xdr:nvSpPr>
      <xdr:spPr>
        <a:xfrm>
          <a:off x="4240530" y="3059430"/>
          <a:ext cx="1280160" cy="112395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BE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A20" sqref="A20"/>
    </sheetView>
  </sheetViews>
  <sheetFormatPr defaultRowHeight="14.4" x14ac:dyDescent="0.3"/>
  <cols>
    <col min="1" max="1" width="120" style="51" customWidth="1"/>
    <col min="2" max="6" width="8.88671875" style="51"/>
  </cols>
  <sheetData>
    <row r="1" spans="1:1" x14ac:dyDescent="0.3">
      <c r="A1" s="53" t="s">
        <v>37</v>
      </c>
    </row>
    <row r="2" spans="1:1" x14ac:dyDescent="0.3">
      <c r="A2" s="54" t="s">
        <v>44</v>
      </c>
    </row>
    <row r="3" spans="1:1" x14ac:dyDescent="0.3">
      <c r="A3" s="54"/>
    </row>
    <row r="4" spans="1:1" x14ac:dyDescent="0.3">
      <c r="A4" s="53" t="s">
        <v>38</v>
      </c>
    </row>
    <row r="5" spans="1:1" ht="14.4" customHeight="1" x14ac:dyDescent="0.3">
      <c r="A5" s="54" t="s">
        <v>41</v>
      </c>
    </row>
    <row r="6" spans="1:1" x14ac:dyDescent="0.3">
      <c r="A6" s="54" t="s">
        <v>45</v>
      </c>
    </row>
    <row r="7" spans="1:1" x14ac:dyDescent="0.3">
      <c r="A7" s="54" t="s">
        <v>46</v>
      </c>
    </row>
    <row r="8" spans="1:1" x14ac:dyDescent="0.3">
      <c r="A8" s="54" t="s">
        <v>47</v>
      </c>
    </row>
    <row r="9" spans="1:1" x14ac:dyDescent="0.3">
      <c r="A9" s="54"/>
    </row>
    <row r="10" spans="1:1" x14ac:dyDescent="0.3">
      <c r="A10" s="53" t="s">
        <v>42</v>
      </c>
    </row>
    <row r="11" spans="1:1" ht="28.8" x14ac:dyDescent="0.3">
      <c r="A11" s="54" t="s">
        <v>43</v>
      </c>
    </row>
    <row r="12" spans="1:1" x14ac:dyDescent="0.3">
      <c r="A12" s="54"/>
    </row>
    <row r="13" spans="1:1" x14ac:dyDescent="0.3">
      <c r="A13" s="55" t="s">
        <v>39</v>
      </c>
    </row>
    <row r="14" spans="1:1" ht="52.8" customHeight="1" x14ac:dyDescent="0.3">
      <c r="A14" s="56" t="s">
        <v>40</v>
      </c>
    </row>
    <row r="16" spans="1:1" x14ac:dyDescent="0.3">
      <c r="A16" s="52"/>
    </row>
    <row r="17" spans="1:1" ht="14.4" customHeight="1" x14ac:dyDescent="0.3"/>
    <row r="19" spans="1:1" x14ac:dyDescent="0.3">
      <c r="A19" s="52"/>
    </row>
    <row r="20" spans="1:1" ht="14.4" customHeight="1" x14ac:dyDescent="0.3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7:O30"/>
  <sheetViews>
    <sheetView workbookViewId="0">
      <selection activeCell="D10" sqref="D10:N15"/>
    </sheetView>
  </sheetViews>
  <sheetFormatPr defaultRowHeight="14.4" x14ac:dyDescent="0.3"/>
  <cols>
    <col min="4" max="4" width="9.44140625" bestFit="1" customWidth="1"/>
    <col min="5" max="5" width="10.44140625" bestFit="1" customWidth="1"/>
    <col min="6" max="9" width="9.44140625" bestFit="1" customWidth="1"/>
    <col min="10" max="10" width="8.88671875" customWidth="1"/>
    <col min="11" max="11" width="9.44140625" bestFit="1" customWidth="1"/>
    <col min="13" max="13" width="9.44140625" bestFit="1" customWidth="1"/>
  </cols>
  <sheetData>
    <row r="7" spans="3:15" x14ac:dyDescent="0.3">
      <c r="C7" s="1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3"/>
    </row>
    <row r="8" spans="3:15" ht="31.2" x14ac:dyDescent="0.6">
      <c r="C8" s="4"/>
      <c r="D8" s="5" t="s">
        <v>14</v>
      </c>
      <c r="E8" s="5"/>
      <c r="F8" s="5"/>
      <c r="G8" s="5"/>
      <c r="H8" s="5"/>
      <c r="I8" s="5"/>
      <c r="J8" s="5"/>
      <c r="K8" s="5"/>
      <c r="L8" s="5"/>
      <c r="M8" s="5"/>
      <c r="N8" s="5"/>
      <c r="O8" s="6"/>
    </row>
    <row r="9" spans="3:15" ht="15" thickBot="1" x14ac:dyDescent="0.35">
      <c r="C9" s="4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6"/>
    </row>
    <row r="10" spans="3:15" x14ac:dyDescent="0.3">
      <c r="C10" s="4"/>
      <c r="D10" s="8" t="s">
        <v>15</v>
      </c>
      <c r="E10" s="9" t="s">
        <v>16</v>
      </c>
      <c r="F10" s="9" t="s">
        <v>17</v>
      </c>
      <c r="G10" s="9" t="s">
        <v>18</v>
      </c>
      <c r="H10" s="10" t="s">
        <v>19</v>
      </c>
      <c r="I10" s="7"/>
      <c r="J10" s="11" t="s">
        <v>29</v>
      </c>
      <c r="K10" s="7"/>
      <c r="L10" s="7"/>
      <c r="M10" s="7"/>
      <c r="N10" s="7"/>
      <c r="O10" s="6"/>
    </row>
    <row r="11" spans="3:15" ht="16.8" thickBot="1" x14ac:dyDescent="0.35">
      <c r="C11" s="4"/>
      <c r="D11" s="12" t="s">
        <v>23</v>
      </c>
      <c r="E11" s="13" t="s">
        <v>20</v>
      </c>
      <c r="F11" s="13" t="s">
        <v>21</v>
      </c>
      <c r="G11" s="13" t="s">
        <v>22</v>
      </c>
      <c r="H11" s="14" t="s">
        <v>23</v>
      </c>
      <c r="I11" s="7"/>
      <c r="J11" s="15" t="s">
        <v>30</v>
      </c>
      <c r="K11" s="7"/>
      <c r="L11" s="7"/>
      <c r="M11" s="7"/>
      <c r="N11" s="7"/>
      <c r="O11" s="6"/>
    </row>
    <row r="12" spans="3:15" ht="15" thickBot="1" x14ac:dyDescent="0.35">
      <c r="C12" s="4"/>
      <c r="D12" s="16">
        <v>0.53500000000000003</v>
      </c>
      <c r="E12" s="17">
        <v>10.74</v>
      </c>
      <c r="F12" s="17">
        <v>1.0996999999999999</v>
      </c>
      <c r="G12" s="17">
        <v>6.7000000000000004E-2</v>
      </c>
      <c r="H12" s="18">
        <v>0.85</v>
      </c>
      <c r="I12" s="7"/>
      <c r="J12" s="19">
        <v>22.1</v>
      </c>
      <c r="K12" s="7"/>
      <c r="L12" s="7"/>
      <c r="M12" s="7"/>
      <c r="N12" s="7"/>
      <c r="O12" s="6"/>
    </row>
    <row r="13" spans="3:15" ht="15" thickBot="1" x14ac:dyDescent="0.35">
      <c r="C13" s="4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6"/>
    </row>
    <row r="14" spans="3:15" ht="15" thickBot="1" x14ac:dyDescent="0.35">
      <c r="C14" s="4"/>
      <c r="D14" s="8" t="s">
        <v>24</v>
      </c>
      <c r="E14" s="26" t="s">
        <v>26</v>
      </c>
      <c r="F14" s="27">
        <v>10</v>
      </c>
      <c r="G14" s="27">
        <v>20</v>
      </c>
      <c r="H14" s="27">
        <v>30</v>
      </c>
      <c r="I14" s="27">
        <v>40</v>
      </c>
      <c r="J14" s="27">
        <v>50</v>
      </c>
      <c r="K14" s="27">
        <v>60</v>
      </c>
      <c r="L14" s="27">
        <v>70</v>
      </c>
      <c r="M14" s="27">
        <v>80</v>
      </c>
      <c r="N14" s="28">
        <v>90</v>
      </c>
      <c r="O14" s="6"/>
    </row>
    <row r="15" spans="3:15" ht="15" thickBot="1" x14ac:dyDescent="0.35">
      <c r="C15" s="4"/>
      <c r="D15" s="12"/>
      <c r="E15" s="26" t="s">
        <v>25</v>
      </c>
      <c r="F15" s="17">
        <v>1</v>
      </c>
      <c r="G15" s="17">
        <v>1</v>
      </c>
      <c r="H15" s="17">
        <v>1</v>
      </c>
      <c r="I15" s="17">
        <v>0.99</v>
      </c>
      <c r="J15" s="17">
        <v>0.97</v>
      </c>
      <c r="K15" s="17">
        <v>0.92</v>
      </c>
      <c r="L15" s="17">
        <v>0.8</v>
      </c>
      <c r="M15" s="17">
        <v>0.55000000000000004</v>
      </c>
      <c r="N15" s="18">
        <v>0</v>
      </c>
      <c r="O15" s="6"/>
    </row>
    <row r="16" spans="3:15" x14ac:dyDescent="0.3">
      <c r="C16" s="20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2"/>
    </row>
    <row r="24" spans="3:15" x14ac:dyDescent="0.3"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3"/>
    </row>
    <row r="25" spans="3:15" ht="31.2" x14ac:dyDescent="0.6">
      <c r="C25" s="4"/>
      <c r="D25" s="5" t="s">
        <v>27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6"/>
    </row>
    <row r="26" spans="3:15" ht="15" thickBot="1" x14ac:dyDescent="0.35">
      <c r="C26" s="4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6"/>
    </row>
    <row r="27" spans="3:15" x14ac:dyDescent="0.3">
      <c r="C27" s="4"/>
      <c r="D27" s="8" t="s">
        <v>28</v>
      </c>
      <c r="E27" s="9" t="s">
        <v>0</v>
      </c>
      <c r="F27" s="9" t="s">
        <v>1</v>
      </c>
      <c r="G27" s="9" t="s">
        <v>2</v>
      </c>
      <c r="H27" s="9" t="s">
        <v>3</v>
      </c>
      <c r="I27" s="9" t="s">
        <v>4</v>
      </c>
      <c r="J27" s="9" t="s">
        <v>5</v>
      </c>
      <c r="K27" s="9" t="s">
        <v>6</v>
      </c>
      <c r="L27" s="9" t="s">
        <v>7</v>
      </c>
      <c r="M27" s="10" t="s">
        <v>13</v>
      </c>
      <c r="N27" s="7"/>
      <c r="O27" s="6"/>
    </row>
    <row r="28" spans="3:15" ht="16.8" thickBot="1" x14ac:dyDescent="0.35">
      <c r="C28" s="4"/>
      <c r="D28" s="29" t="s">
        <v>23</v>
      </c>
      <c r="E28" s="13" t="s">
        <v>20</v>
      </c>
      <c r="F28" s="13" t="s">
        <v>31</v>
      </c>
      <c r="G28" s="13" t="s">
        <v>32</v>
      </c>
      <c r="H28" s="25" t="s">
        <v>23</v>
      </c>
      <c r="I28" s="30" t="s">
        <v>33</v>
      </c>
      <c r="J28" s="13" t="s">
        <v>22</v>
      </c>
      <c r="K28" s="13" t="s">
        <v>34</v>
      </c>
      <c r="L28" s="13" t="s">
        <v>34</v>
      </c>
      <c r="M28" s="24" t="s">
        <v>23</v>
      </c>
      <c r="N28" s="7"/>
      <c r="O28" s="6"/>
    </row>
    <row r="29" spans="3:15" ht="15" thickBot="1" x14ac:dyDescent="0.35">
      <c r="C29" s="4"/>
      <c r="D29" s="31">
        <f>((1-3*G12)*D12)/(0.85+0.15*M29)</f>
        <v>0.43193348356348016</v>
      </c>
      <c r="E29" s="32">
        <f>E12+3*F12</f>
        <v>14.039099999999999</v>
      </c>
      <c r="F29" s="32">
        <v>0</v>
      </c>
      <c r="G29" s="32">
        <f>F12</f>
        <v>1.0996999999999999</v>
      </c>
      <c r="H29" s="33">
        <f>D12*H12*(1-3*G12)</f>
        <v>0.36334524999999995</v>
      </c>
      <c r="I29" s="34">
        <f>J12*1000</f>
        <v>22100</v>
      </c>
      <c r="J29" s="33">
        <f>D12*G12</f>
        <v>3.5845000000000002E-2</v>
      </c>
      <c r="K29" s="35">
        <f>D12*G12*H12</f>
        <v>3.0468250000000002E-2</v>
      </c>
      <c r="L29" s="36">
        <v>0</v>
      </c>
      <c r="M29" s="37" cm="1">
        <f t="array" ref="M29">SUMPRODUCT(F15:N15, SIN(RADIANS(F14:N14)), COS(RADIANS(F14:N14))) / SUMPRODUCT(SIN(RADIANS(F14:N14)), COS(RADIANS(F14:N14)))</f>
        <v>0.93103130098312248</v>
      </c>
      <c r="N29" s="7"/>
      <c r="O29" s="6"/>
    </row>
    <row r="30" spans="3:15" x14ac:dyDescent="0.3">
      <c r="C30" s="20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2"/>
    </row>
  </sheetData>
  <mergeCells count="2">
    <mergeCell ref="D8:N8"/>
    <mergeCell ref="D25:N2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6:O29"/>
  <sheetViews>
    <sheetView workbookViewId="0">
      <selection activeCell="L11" sqref="D9:L11"/>
    </sheetView>
  </sheetViews>
  <sheetFormatPr defaultRowHeight="14.4" x14ac:dyDescent="0.3"/>
  <sheetData>
    <row r="6" spans="3:15" x14ac:dyDescent="0.3">
      <c r="C6" s="1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3"/>
    </row>
    <row r="7" spans="3:15" ht="31.2" x14ac:dyDescent="0.6">
      <c r="C7" s="4"/>
      <c r="D7" s="5" t="s">
        <v>35</v>
      </c>
      <c r="E7" s="5"/>
      <c r="F7" s="5"/>
      <c r="G7" s="5"/>
      <c r="H7" s="5"/>
      <c r="I7" s="5"/>
      <c r="J7" s="5"/>
      <c r="K7" s="5"/>
      <c r="L7" s="5"/>
      <c r="M7" s="5"/>
      <c r="N7" s="5"/>
      <c r="O7" s="6"/>
    </row>
    <row r="8" spans="3:15" ht="15" thickBot="1" x14ac:dyDescent="0.35">
      <c r="C8" s="4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6"/>
    </row>
    <row r="9" spans="3:15" x14ac:dyDescent="0.3">
      <c r="C9" s="4"/>
      <c r="D9" s="8" t="s">
        <v>28</v>
      </c>
      <c r="E9" s="9" t="s">
        <v>8</v>
      </c>
      <c r="F9" s="9" t="s">
        <v>9</v>
      </c>
      <c r="G9" s="9" t="s">
        <v>10</v>
      </c>
      <c r="H9" s="9" t="s">
        <v>11</v>
      </c>
      <c r="I9" s="9" t="s">
        <v>12</v>
      </c>
      <c r="J9" s="10" t="s">
        <v>13</v>
      </c>
      <c r="K9" s="7"/>
      <c r="L9" s="11" t="s">
        <v>29</v>
      </c>
      <c r="M9" s="7"/>
      <c r="N9" s="23"/>
      <c r="O9" s="6"/>
    </row>
    <row r="10" spans="3:15" ht="16.8" thickBot="1" x14ac:dyDescent="0.35">
      <c r="C10" s="4"/>
      <c r="D10" s="12" t="s">
        <v>23</v>
      </c>
      <c r="E10" s="13" t="s">
        <v>20</v>
      </c>
      <c r="F10" s="13" t="s">
        <v>31</v>
      </c>
      <c r="G10" s="13" t="s">
        <v>32</v>
      </c>
      <c r="H10" s="13" t="s">
        <v>23</v>
      </c>
      <c r="I10" s="13" t="s">
        <v>22</v>
      </c>
      <c r="J10" s="24" t="s">
        <v>23</v>
      </c>
      <c r="K10" s="7"/>
      <c r="L10" s="15" t="s">
        <v>30</v>
      </c>
      <c r="M10" s="7"/>
      <c r="N10" s="23"/>
      <c r="O10" s="6"/>
    </row>
    <row r="11" spans="3:15" ht="15" thickBot="1" x14ac:dyDescent="0.35">
      <c r="C11" s="4"/>
      <c r="D11" s="16">
        <v>0.47499999999999998</v>
      </c>
      <c r="E11" s="17">
        <v>7.4109999999999996</v>
      </c>
      <c r="F11" s="17">
        <v>0</v>
      </c>
      <c r="G11" s="17">
        <v>1.7</v>
      </c>
      <c r="H11" s="17">
        <v>0.437</v>
      </c>
      <c r="I11" s="17">
        <v>3.0000000000000001E-3</v>
      </c>
      <c r="J11" s="18">
        <v>1</v>
      </c>
      <c r="K11" s="7"/>
      <c r="L11" s="19">
        <v>42.2</v>
      </c>
      <c r="M11" s="7"/>
      <c r="N11" s="23"/>
      <c r="O11" s="6"/>
    </row>
    <row r="12" spans="3:15" ht="15" thickBot="1" x14ac:dyDescent="0.35">
      <c r="C12" s="4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6"/>
    </row>
    <row r="13" spans="3:15" x14ac:dyDescent="0.3">
      <c r="C13" s="4"/>
      <c r="D13" s="8" t="s">
        <v>24</v>
      </c>
      <c r="E13" s="10" t="s">
        <v>26</v>
      </c>
      <c r="F13" s="9">
        <v>10</v>
      </c>
      <c r="G13" s="9">
        <v>20</v>
      </c>
      <c r="H13" s="9">
        <v>30</v>
      </c>
      <c r="I13" s="9">
        <v>40</v>
      </c>
      <c r="J13" s="9">
        <v>50</v>
      </c>
      <c r="K13" s="9">
        <v>60</v>
      </c>
      <c r="L13" s="9">
        <v>70</v>
      </c>
      <c r="M13" s="9">
        <v>80</v>
      </c>
      <c r="N13" s="10">
        <v>90</v>
      </c>
      <c r="O13" s="6"/>
    </row>
    <row r="14" spans="3:15" ht="15" thickBot="1" x14ac:dyDescent="0.35">
      <c r="C14" s="4"/>
      <c r="D14" s="12"/>
      <c r="E14" s="14" t="s">
        <v>25</v>
      </c>
      <c r="F14" s="38">
        <v>1</v>
      </c>
      <c r="G14" s="38">
        <v>1</v>
      </c>
      <c r="H14" s="38">
        <v>0.99</v>
      </c>
      <c r="I14" s="38">
        <v>0.99</v>
      </c>
      <c r="J14" s="38">
        <v>0.98</v>
      </c>
      <c r="K14" s="38">
        <v>0.96</v>
      </c>
      <c r="L14" s="38">
        <v>0.92</v>
      </c>
      <c r="M14" s="38">
        <v>0.55000000000000004</v>
      </c>
      <c r="N14" s="39">
        <v>0</v>
      </c>
      <c r="O14" s="6"/>
    </row>
    <row r="15" spans="3:15" x14ac:dyDescent="0.3">
      <c r="C15" s="20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2"/>
    </row>
    <row r="23" spans="3:15" x14ac:dyDescent="0.3"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3"/>
    </row>
    <row r="24" spans="3:15" ht="31.2" x14ac:dyDescent="0.6">
      <c r="C24" s="4"/>
      <c r="D24" s="5" t="s">
        <v>27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6"/>
    </row>
    <row r="25" spans="3:15" ht="15" thickBot="1" x14ac:dyDescent="0.35">
      <c r="C25" s="4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6"/>
    </row>
    <row r="26" spans="3:15" x14ac:dyDescent="0.3">
      <c r="C26" s="4"/>
      <c r="D26" s="8" t="s">
        <v>28</v>
      </c>
      <c r="E26" s="40" t="s">
        <v>0</v>
      </c>
      <c r="F26" s="40" t="s">
        <v>1</v>
      </c>
      <c r="G26" s="40" t="s">
        <v>2</v>
      </c>
      <c r="H26" s="40" t="s">
        <v>3</v>
      </c>
      <c r="I26" s="40" t="s">
        <v>4</v>
      </c>
      <c r="J26" s="40" t="s">
        <v>5</v>
      </c>
      <c r="K26" s="40" t="s">
        <v>6</v>
      </c>
      <c r="L26" s="40" t="s">
        <v>7</v>
      </c>
      <c r="M26" s="41" t="s">
        <v>13</v>
      </c>
      <c r="N26" s="7"/>
      <c r="O26" s="6"/>
    </row>
    <row r="27" spans="3:15" ht="16.8" thickBot="1" x14ac:dyDescent="0.35">
      <c r="C27" s="4"/>
      <c r="D27" s="29" t="s">
        <v>23</v>
      </c>
      <c r="E27" s="13" t="s">
        <v>20</v>
      </c>
      <c r="F27" s="13" t="s">
        <v>31</v>
      </c>
      <c r="G27" s="13" t="s">
        <v>32</v>
      </c>
      <c r="H27" s="25" t="s">
        <v>23</v>
      </c>
      <c r="I27" s="30" t="s">
        <v>33</v>
      </c>
      <c r="J27" s="13" t="s">
        <v>22</v>
      </c>
      <c r="K27" s="13" t="s">
        <v>34</v>
      </c>
      <c r="L27" s="13" t="s">
        <v>34</v>
      </c>
      <c r="M27" s="24" t="s">
        <v>23</v>
      </c>
      <c r="N27" s="7"/>
      <c r="O27" s="6"/>
    </row>
    <row r="28" spans="3:15" ht="15" thickBot="1" x14ac:dyDescent="0.35">
      <c r="C28" s="4"/>
      <c r="D28" s="42">
        <f>D11-3*I11</f>
        <v>0.46599999999999997</v>
      </c>
      <c r="E28" s="43">
        <f>E11+3*G11</f>
        <v>12.510999999999999</v>
      </c>
      <c r="F28" s="43">
        <f>F11</f>
        <v>0</v>
      </c>
      <c r="G28" s="43">
        <f>G11</f>
        <v>1.7</v>
      </c>
      <c r="H28" s="44">
        <f>H11</f>
        <v>0.437</v>
      </c>
      <c r="I28" s="45">
        <f>L11*1000</f>
        <v>42200</v>
      </c>
      <c r="J28" s="44">
        <f>I11</f>
        <v>3.0000000000000001E-3</v>
      </c>
      <c r="K28" s="47">
        <v>0</v>
      </c>
      <c r="L28" s="47">
        <v>0</v>
      </c>
      <c r="M28" s="46">
        <f>J11</f>
        <v>1</v>
      </c>
      <c r="N28" s="7"/>
      <c r="O28" s="6"/>
    </row>
    <row r="29" spans="3:15" x14ac:dyDescent="0.3">
      <c r="C29" s="20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2"/>
    </row>
  </sheetData>
  <mergeCells count="2">
    <mergeCell ref="D7:N7"/>
    <mergeCell ref="D24:N24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E3562-EEAB-4DA2-96EE-8007816CB685}">
  <dimension ref="C6:O29"/>
  <sheetViews>
    <sheetView workbookViewId="0">
      <selection activeCell="E44" sqref="E44"/>
    </sheetView>
  </sheetViews>
  <sheetFormatPr defaultRowHeight="14.4" x14ac:dyDescent="0.3"/>
  <sheetData>
    <row r="6" spans="3:15" x14ac:dyDescent="0.3">
      <c r="C6" s="1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3"/>
    </row>
    <row r="7" spans="3:15" ht="31.2" x14ac:dyDescent="0.6">
      <c r="C7" s="4"/>
      <c r="D7" s="5" t="s">
        <v>36</v>
      </c>
      <c r="E7" s="5"/>
      <c r="F7" s="5"/>
      <c r="G7" s="5"/>
      <c r="H7" s="5"/>
      <c r="I7" s="5"/>
      <c r="J7" s="5"/>
      <c r="K7" s="5"/>
      <c r="L7" s="5"/>
      <c r="M7" s="5"/>
      <c r="N7" s="5"/>
      <c r="O7" s="6"/>
    </row>
    <row r="8" spans="3:15" ht="15" thickBot="1" x14ac:dyDescent="0.35">
      <c r="C8" s="4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6"/>
    </row>
    <row r="9" spans="3:15" x14ac:dyDescent="0.3">
      <c r="C9" s="4"/>
      <c r="D9" s="8" t="s">
        <v>28</v>
      </c>
      <c r="E9" s="9" t="s">
        <v>0</v>
      </c>
      <c r="F9" s="9" t="s">
        <v>1</v>
      </c>
      <c r="G9" s="9" t="s">
        <v>2</v>
      </c>
      <c r="H9" s="9" t="s">
        <v>3</v>
      </c>
      <c r="I9" s="9" t="s">
        <v>4</v>
      </c>
      <c r="J9" s="9" t="s">
        <v>5</v>
      </c>
      <c r="K9" s="9" t="s">
        <v>7</v>
      </c>
      <c r="L9" s="10" t="s">
        <v>13</v>
      </c>
      <c r="M9" s="7"/>
      <c r="N9" s="48"/>
      <c r="O9" s="6"/>
    </row>
    <row r="10" spans="3:15" ht="16.8" thickBot="1" x14ac:dyDescent="0.35">
      <c r="C10" s="4"/>
      <c r="D10" s="12" t="s">
        <v>23</v>
      </c>
      <c r="E10" s="13" t="s">
        <v>20</v>
      </c>
      <c r="F10" s="13" t="s">
        <v>31</v>
      </c>
      <c r="G10" s="13" t="s">
        <v>32</v>
      </c>
      <c r="H10" s="13" t="s">
        <v>23</v>
      </c>
      <c r="I10" s="30" t="s">
        <v>33</v>
      </c>
      <c r="J10" s="13" t="s">
        <v>22</v>
      </c>
      <c r="K10" s="13" t="s">
        <v>34</v>
      </c>
      <c r="L10" s="14" t="s">
        <v>23</v>
      </c>
      <c r="M10" s="7"/>
      <c r="N10" s="50"/>
      <c r="O10" s="6"/>
    </row>
    <row r="11" spans="3:15" ht="15" thickBot="1" x14ac:dyDescent="0.35">
      <c r="C11" s="4"/>
      <c r="D11" s="16">
        <v>0.32900000000000001</v>
      </c>
      <c r="E11" s="17">
        <v>40.94</v>
      </c>
      <c r="F11" s="17">
        <v>0</v>
      </c>
      <c r="G11" s="17">
        <v>4.9279999999999999</v>
      </c>
      <c r="H11" s="17">
        <v>0.14000000000000001</v>
      </c>
      <c r="I11" s="17">
        <v>42730</v>
      </c>
      <c r="J11" s="17">
        <v>4.4999999999999998E-2</v>
      </c>
      <c r="K11" s="17">
        <v>0</v>
      </c>
      <c r="L11" s="18">
        <v>0.83</v>
      </c>
      <c r="M11" s="7"/>
      <c r="N11" s="49"/>
      <c r="O11" s="6"/>
    </row>
    <row r="12" spans="3:15" ht="15" thickBot="1" x14ac:dyDescent="0.35">
      <c r="C12" s="4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6"/>
    </row>
    <row r="13" spans="3:15" x14ac:dyDescent="0.3">
      <c r="C13" s="4"/>
      <c r="D13" s="8" t="s">
        <v>24</v>
      </c>
      <c r="E13" s="10" t="s">
        <v>26</v>
      </c>
      <c r="F13" s="9">
        <v>10</v>
      </c>
      <c r="G13" s="9">
        <v>20</v>
      </c>
      <c r="H13" s="9">
        <v>30</v>
      </c>
      <c r="I13" s="9">
        <v>40</v>
      </c>
      <c r="J13" s="9">
        <v>50</v>
      </c>
      <c r="K13" s="9">
        <v>60</v>
      </c>
      <c r="L13" s="9">
        <v>70</v>
      </c>
      <c r="M13" s="9">
        <v>80</v>
      </c>
      <c r="N13" s="10">
        <v>90</v>
      </c>
      <c r="O13" s="6"/>
    </row>
    <row r="14" spans="3:15" ht="15" thickBot="1" x14ac:dyDescent="0.35">
      <c r="C14" s="4"/>
      <c r="D14" s="12"/>
      <c r="E14" s="14" t="s">
        <v>25</v>
      </c>
      <c r="F14" s="38">
        <v>1</v>
      </c>
      <c r="G14" s="38">
        <v>1</v>
      </c>
      <c r="H14" s="17">
        <v>0.99</v>
      </c>
      <c r="I14" s="38">
        <v>0.99</v>
      </c>
      <c r="J14" s="38">
        <v>0.98</v>
      </c>
      <c r="K14" s="38">
        <v>0.96</v>
      </c>
      <c r="L14" s="38">
        <v>0.92</v>
      </c>
      <c r="M14" s="38">
        <v>0.55000000000000004</v>
      </c>
      <c r="N14" s="39">
        <v>0</v>
      </c>
      <c r="O14" s="6"/>
    </row>
    <row r="15" spans="3:15" x14ac:dyDescent="0.3">
      <c r="C15" s="20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2"/>
    </row>
    <row r="23" spans="3:15" x14ac:dyDescent="0.3"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3"/>
    </row>
    <row r="24" spans="3:15" ht="31.2" x14ac:dyDescent="0.6">
      <c r="C24" s="4"/>
      <c r="D24" s="5" t="s">
        <v>27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6"/>
    </row>
    <row r="25" spans="3:15" ht="15" thickBot="1" x14ac:dyDescent="0.35">
      <c r="C25" s="4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6"/>
    </row>
    <row r="26" spans="3:15" x14ac:dyDescent="0.3">
      <c r="C26" s="4"/>
      <c r="D26" s="8" t="s">
        <v>28</v>
      </c>
      <c r="E26" s="9" t="s">
        <v>0</v>
      </c>
      <c r="F26" s="9" t="s">
        <v>1</v>
      </c>
      <c r="G26" s="9" t="s">
        <v>2</v>
      </c>
      <c r="H26" s="9" t="s">
        <v>3</v>
      </c>
      <c r="I26" s="9" t="s">
        <v>4</v>
      </c>
      <c r="J26" s="9" t="s">
        <v>5</v>
      </c>
      <c r="K26" s="9" t="s">
        <v>6</v>
      </c>
      <c r="L26" s="9" t="s">
        <v>7</v>
      </c>
      <c r="M26" s="10" t="s">
        <v>13</v>
      </c>
      <c r="N26" s="7"/>
      <c r="O26" s="6"/>
    </row>
    <row r="27" spans="3:15" ht="16.8" thickBot="1" x14ac:dyDescent="0.35">
      <c r="C27" s="4"/>
      <c r="D27" s="29" t="s">
        <v>23</v>
      </c>
      <c r="E27" s="13" t="s">
        <v>20</v>
      </c>
      <c r="F27" s="13" t="s">
        <v>31</v>
      </c>
      <c r="G27" s="13" t="s">
        <v>32</v>
      </c>
      <c r="H27" s="25" t="s">
        <v>23</v>
      </c>
      <c r="I27" s="30" t="s">
        <v>33</v>
      </c>
      <c r="J27" s="13" t="s">
        <v>22</v>
      </c>
      <c r="K27" s="13" t="s">
        <v>34</v>
      </c>
      <c r="L27" s="13" t="s">
        <v>34</v>
      </c>
      <c r="M27" s="24" t="s">
        <v>23</v>
      </c>
      <c r="N27" s="7"/>
      <c r="O27" s="6"/>
    </row>
    <row r="28" spans="3:15" ht="15" thickBot="1" x14ac:dyDescent="0.35">
      <c r="C28" s="4"/>
      <c r="D28" s="42">
        <f>D11</f>
        <v>0.32900000000000001</v>
      </c>
      <c r="E28" s="43">
        <f>E11</f>
        <v>40.94</v>
      </c>
      <c r="F28" s="43">
        <f>F11</f>
        <v>0</v>
      </c>
      <c r="G28" s="43">
        <f>G11</f>
        <v>4.9279999999999999</v>
      </c>
      <c r="H28" s="44">
        <f>H11</f>
        <v>0.14000000000000001</v>
      </c>
      <c r="I28" s="45">
        <f>I11</f>
        <v>42730</v>
      </c>
      <c r="J28" s="44">
        <f>(H14*850 + L11*150)/1000 * J11</f>
        <v>4.3469999999999995E-2</v>
      </c>
      <c r="K28" s="47">
        <v>0</v>
      </c>
      <c r="L28" s="47">
        <f>K11</f>
        <v>0</v>
      </c>
      <c r="M28" s="46">
        <f>J11</f>
        <v>4.4999999999999998E-2</v>
      </c>
      <c r="N28" s="7"/>
      <c r="O28" s="6"/>
    </row>
    <row r="29" spans="3:15" x14ac:dyDescent="0.3">
      <c r="C29" s="20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2"/>
    </row>
  </sheetData>
  <mergeCells count="2">
    <mergeCell ref="D7:N7"/>
    <mergeCell ref="D24:N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ISO2013_USS</vt:lpstr>
      <vt:lpstr>ISO2013_QD</vt:lpstr>
      <vt:lpstr>ISO2025_QD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Lone Meertens</cp:lastModifiedBy>
  <dcterms:created xsi:type="dcterms:W3CDTF">2026-03-11T19:14:13Z</dcterms:created>
  <dcterms:modified xsi:type="dcterms:W3CDTF">2026-03-12T10:34:55Z</dcterms:modified>
</cp:coreProperties>
</file>